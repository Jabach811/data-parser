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onna-my.sharepoint.com/personal/joel_abacherli_transamerica_com/Documents/Main Folder/"/>
    </mc:Choice>
  </mc:AlternateContent>
  <xr:revisionPtr revIDLastSave="0" documentId="8_{AFB4CD0B-E898-4F4B-A852-2A9B1ADFA835}" xr6:coauthVersionLast="47" xr6:coauthVersionMax="47" xr10:uidLastSave="{00000000-0000-0000-0000-000000000000}"/>
  <bookViews>
    <workbookView xWindow="-108" yWindow="-108" windowWidth="41496" windowHeight="16776" activeTab="1" xr2:uid="{F4479324-45CD-4BA4-B1B9-1DA2D7490C20}"/>
  </bookViews>
  <sheets>
    <sheet name="Fund Mapping" sheetId="1" r:id="rId1"/>
    <sheet name="Source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Morrissey</author>
  </authors>
  <commentList>
    <comment ref="L8" authorId="0" shapeId="0" xr:uid="{D89D6270-7A1A-4A61-B993-7016C0D214A5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Rollover &amp; frozen sources always= N.
All Other Active Sources=Y.
Cash Conversions=N/A</t>
        </r>
      </text>
    </comment>
    <comment ref="M8" authorId="0" shapeId="0" xr:uid="{38AA8472-3A61-4882-8E7F-6C8536959960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Used for investment elections posted to P3 and to resolve 
loan source balance discrepancies. 
See Source Hierarchy Definition Tab.</t>
        </r>
      </text>
    </comment>
  </commentList>
</comments>
</file>

<file path=xl/sharedStrings.xml><?xml version="1.0" encoding="utf-8"?>
<sst xmlns="http://schemas.openxmlformats.org/spreadsheetml/2006/main" count="96" uniqueCount="87">
  <si>
    <t>FILTER</t>
  </si>
  <si>
    <t>PR FUND CODE</t>
  </si>
  <si>
    <t>FUND SPLIT PERCENT</t>
  </si>
  <si>
    <t>ROUNDING IND</t>
  </si>
  <si>
    <t>TAKEOVER AMT</t>
  </si>
  <si>
    <t>FUND AMOUNT</t>
  </si>
  <si>
    <t>TR REF NO</t>
  </si>
  <si>
    <t>Current Fund</t>
  </si>
  <si>
    <t>Current Ticker</t>
  </si>
  <si>
    <t>Current Investment Category</t>
  </si>
  <si>
    <t xml:space="preserve"> Assets</t>
  </si>
  <si>
    <t>Map To</t>
  </si>
  <si>
    <t>Cash Account</t>
  </si>
  <si>
    <t>New Fund</t>
  </si>
  <si>
    <t>Ticker</t>
  </si>
  <si>
    <t>CUSIP</t>
  </si>
  <si>
    <t>Fund Descriptor Code</t>
  </si>
  <si>
    <t>Fund Type</t>
  </si>
  <si>
    <t>New Investment Category</t>
  </si>
  <si>
    <t>Re-Registering (Yes/No)</t>
  </si>
  <si>
    <t>Similar Investment Category (Yes/No)</t>
  </si>
  <si>
    <t>Withdrawal Sequence</t>
  </si>
  <si>
    <t>Net Expense Ratio *</t>
  </si>
  <si>
    <t>Gross Expense Ratio **</t>
  </si>
  <si>
    <t>Asset Based Revenue</t>
  </si>
  <si>
    <t>Per Participant Position Revenue</t>
  </si>
  <si>
    <t>Plan Service Credit to Expense Budget Account Equal to Fund Revenue</t>
  </si>
  <si>
    <t>CIT</t>
  </si>
  <si>
    <t>ARTQX</t>
  </si>
  <si>
    <t>N</t>
  </si>
  <si>
    <t>20251120522HLJ</t>
  </si>
  <si>
    <t>Artisan Mid Cap Value Investor</t>
  </si>
  <si>
    <t>Mid-Cap Value</t>
  </si>
  <si>
    <t>à</t>
  </si>
  <si>
    <t>Fidelity Mid Cap Index</t>
  </si>
  <si>
    <t>FSMDX</t>
  </si>
  <si>
    <t>Y5LE</t>
  </si>
  <si>
    <t>MF</t>
  </si>
  <si>
    <t>Mid-Cap Blend</t>
  </si>
  <si>
    <t>No</t>
  </si>
  <si>
    <t>0.00%</t>
  </si>
  <si>
    <t>$0.00</t>
  </si>
  <si>
    <t>Transition Consultant:</t>
  </si>
  <si>
    <t>Theresa Herzner</t>
  </si>
  <si>
    <t>RD = Roth Deferral</t>
  </si>
  <si>
    <t>Cash Conversion:</t>
  </si>
  <si>
    <t>RR = Roth Rollover</t>
  </si>
  <si>
    <t>To be completed by the Data Consultant</t>
  </si>
  <si>
    <r>
      <t xml:space="preserve">To be completed by the Transition Consultant </t>
    </r>
    <r>
      <rPr>
        <b/>
        <sz val="10"/>
        <color rgb="FFFF0000"/>
        <rFont val="Aptos Narrow"/>
        <family val="2"/>
        <scheme val="minor"/>
      </rPr>
      <t>(Based on final P3 source set up)</t>
    </r>
  </si>
  <si>
    <r>
      <t xml:space="preserve">To be completed by the Transition Manager
</t>
    </r>
    <r>
      <rPr>
        <b/>
        <sz val="11"/>
        <color rgb="FFFF0000"/>
        <rFont val="Aptos Narrow"/>
        <family val="2"/>
        <scheme val="minor"/>
      </rPr>
      <t>(Based on prior record keeper sources)</t>
    </r>
  </si>
  <si>
    <t>*** Do Not Use ***</t>
  </si>
  <si>
    <t>To be completed by the DC</t>
  </si>
  <si>
    <t>Filter Code</t>
  </si>
  <si>
    <t>Prior Source Code</t>
  </si>
  <si>
    <t>Prior Source Name</t>
  </si>
  <si>
    <t>Prior Source Description</t>
  </si>
  <si>
    <t>Map To:  TRS Source Name (P3 Source Tab)</t>
  </si>
  <si>
    <t xml:space="preserve">Map To:  P3 Contrib Type Code </t>
  </si>
  <si>
    <t>Withdrawal Provisions</t>
  </si>
  <si>
    <t>Vesting</t>
  </si>
  <si>
    <t>Frequency of Contrib</t>
  </si>
  <si>
    <t>TRS Statement Name (P3 Report Output Tab)</t>
  </si>
  <si>
    <t>SRC I</t>
  </si>
  <si>
    <r>
      <t xml:space="preserve">Source Hierarchy Use  (Y/N)
</t>
    </r>
    <r>
      <rPr>
        <b/>
        <sz val="10"/>
        <color rgb="FFFF0000"/>
        <rFont val="Aptos Narrow"/>
        <family val="2"/>
        <scheme val="minor"/>
      </rPr>
      <t>(Only used for Elections)</t>
    </r>
  </si>
  <si>
    <r>
      <t xml:space="preserve">Order of Sources to be used for Hierarchy (Number Sequentially)
</t>
    </r>
    <r>
      <rPr>
        <b/>
        <sz val="10"/>
        <color rgb="FFFF0000"/>
        <rFont val="Aptos Narrow"/>
        <family val="2"/>
        <scheme val="minor"/>
      </rPr>
      <t>(Used for Elections &amp; Loans)</t>
    </r>
  </si>
  <si>
    <t>Source Type</t>
  </si>
  <si>
    <t>Source Translation Code</t>
  </si>
  <si>
    <t>Takeover Amt</t>
  </si>
  <si>
    <t>Use SRC_S from Grid below</t>
  </si>
  <si>
    <t>Use SRC_I from Grid below</t>
  </si>
  <si>
    <t>Please refer to Source Hierarchy guide</t>
  </si>
  <si>
    <t>Always "CIT"</t>
  </si>
  <si>
    <t>From Vendor Mapping</t>
  </si>
  <si>
    <t>Mapping Completed by CTS Transition Consultant/Transition Manager</t>
  </si>
  <si>
    <t>Elective Deferrals</t>
  </si>
  <si>
    <t xml:space="preserve">Elective Deferrals </t>
  </si>
  <si>
    <t>per payroll</t>
  </si>
  <si>
    <t>6898408485628132</t>
  </si>
  <si>
    <t>1</t>
  </si>
  <si>
    <t>Client Name:</t>
  </si>
  <si>
    <t>Crisp Regional Hospital 403b</t>
  </si>
  <si>
    <t>Account Number:</t>
  </si>
  <si>
    <t>TA069977-00001</t>
  </si>
  <si>
    <t>PT = Pre-tax</t>
  </si>
  <si>
    <t>Data Consultant:</t>
  </si>
  <si>
    <t>Joel Abacherli</t>
  </si>
  <si>
    <t>AT =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</si>
</sst>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name val="Wingdings"/>
      <charset val="2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right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" fillId="0" borderId="1" xfId="4" applyNumberFormat="1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165" fontId="4" fillId="0" borderId="1" xfId="4" applyNumberFormat="1" applyFont="1" applyFill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3" fontId="0" fillId="0" borderId="1" xfId="1" applyFont="1" applyBorder="1" applyAlignment="1"/>
    <xf numFmtId="43" fontId="4" fillId="0" borderId="1" xfId="1" applyFont="1" applyBorder="1" applyAlignment="1"/>
    <xf numFmtId="0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Border="1" applyAlignme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5" borderId="0" xfId="0" applyFont="1" applyFill="1"/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11" borderId="0" xfId="0" applyNumberFormat="1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wrapText="1"/>
    </xf>
    <xf numFmtId="49" fontId="7" fillId="12" borderId="2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49" fontId="7" fillId="12" borderId="4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6" fillId="0" borderId="1" xfId="0" applyFont="1" applyBorder="1"/>
    <xf numFmtId="0" fontId="12" fillId="0" borderId="1" xfId="0" applyFont="1" applyBorder="1" applyAlignment="1" applyProtection="1">
      <alignment horizontal="right" vertical="top"/>
      <protection locked="0"/>
    </xf>
    <xf numFmtId="49" fontId="12" fillId="0" borderId="1" xfId="0" applyNumberFormat="1" applyFont="1" applyBorder="1" applyAlignment="1" applyProtection="1">
      <alignment vertical="top"/>
      <protection locked="0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14" fillId="14" borderId="1" xfId="0" applyFont="1" applyFill="1" applyBorder="1"/>
    <xf numFmtId="8" fontId="12" fillId="0" borderId="1" xfId="0" applyNumberFormat="1" applyFont="1" applyBorder="1" applyAlignment="1" applyProtection="1">
      <alignment horizontal="right" vertical="top"/>
      <protection locked="0"/>
    </xf>
    <xf numFmtId="0" fontId="10" fillId="0" borderId="0" xfId="0" applyFont="1"/>
  </cellXfs>
  <cellStyles count="5">
    <cellStyle name="Comma" xfId="1" builtinId="3"/>
    <cellStyle name="Currency" xfId="2" builtinId="4"/>
    <cellStyle name="Currency 2" xfId="3" xr:uid="{7CB50731-6D34-467E-80BA-7FCD834E8A58}"/>
    <cellStyle name="Normal" xfId="0" builtinId="0"/>
    <cellStyle name="Percent 2" xfId="4" xr:uid="{53599847-98E9-4935-A01E-AAA574CA7D97}"/>
  </cellStyles>
  <dxfs count="5"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DA2-129F-4FA7-8C2E-893A802EA609}">
  <dimension ref="A1:AA2"/>
  <sheetViews>
    <sheetView workbookViewId="0">
      <selection activeCell="H6" sqref="H6"/>
    </sheetView>
  </sheetViews>
  <sheetFormatPr defaultRowHeight="18.5" x14ac:dyDescent="0.45"/>
  <cols>
    <col min="1" max="1" width="5" bestFit="1" customWidth="1"/>
    <col min="2" max="2" width="10.5703125" bestFit="1" customWidth="1"/>
    <col min="3" max="3" width="14.7109375" bestFit="1" customWidth="1"/>
    <col min="4" max="4" width="10.7109375" bestFit="1" customWidth="1"/>
    <col min="5" max="6" width="10.42578125" bestFit="1" customWidth="1"/>
    <col min="7" max="7" width="16.2109375" bestFit="1" customWidth="1"/>
    <col min="8" max="8" width="19.42578125" bestFit="1" customWidth="1"/>
    <col min="9" max="9" width="9.92578125" bestFit="1" customWidth="1"/>
    <col min="10" max="10" width="19.5703125" bestFit="1" customWidth="1"/>
    <col min="11" max="11" width="6.5" bestFit="1" customWidth="1"/>
    <col min="12" max="12" width="6.2109375" bestFit="1" customWidth="1"/>
    <col min="13" max="13" width="10.7109375" bestFit="1" customWidth="1"/>
    <col min="14" max="14" width="14.0703125" bestFit="1" customWidth="1"/>
    <col min="15" max="15" width="5.7109375" bestFit="1" customWidth="1"/>
    <col min="16" max="16" width="7.7109375" bestFit="1" customWidth="1"/>
    <col min="17" max="17" width="14.92578125" bestFit="1" customWidth="1"/>
    <col min="18" max="18" width="7.35546875" bestFit="1" customWidth="1"/>
    <col min="19" max="19" width="17.42578125" bestFit="1" customWidth="1"/>
    <col min="20" max="20" width="17.35546875" bestFit="1" customWidth="1"/>
    <col min="21" max="21" width="26.42578125" bestFit="1" customWidth="1"/>
    <col min="22" max="22" width="15.0703125" bestFit="1" customWidth="1"/>
    <col min="23" max="23" width="14.5703125" bestFit="1" customWidth="1"/>
    <col min="24" max="24" width="16.85546875" bestFit="1" customWidth="1"/>
    <col min="25" max="25" width="15.5703125" bestFit="1" customWidth="1"/>
    <col min="26" max="26" width="23.2109375" bestFit="1" customWidth="1"/>
    <col min="27" max="27" width="47.85546875" bestFit="1" customWidth="1"/>
  </cols>
  <sheetData>
    <row r="1" spans="1:27" x14ac:dyDescent="0.4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7" t="s">
        <v>18</v>
      </c>
      <c r="T1" s="9" t="s">
        <v>19</v>
      </c>
      <c r="U1" s="9" t="s">
        <v>20</v>
      </c>
      <c r="V1" s="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45">
      <c r="A2" s="20" t="s">
        <v>27</v>
      </c>
      <c r="B2" s="14" t="s">
        <v>28</v>
      </c>
      <c r="C2" s="21">
        <v>1</v>
      </c>
      <c r="D2" s="21" t="s">
        <v>29</v>
      </c>
      <c r="E2" s="22">
        <v>80372.739999999991</v>
      </c>
      <c r="F2" s="23">
        <v>80372.739999999991</v>
      </c>
      <c r="G2" s="11" t="s">
        <v>30</v>
      </c>
      <c r="H2" s="12" t="s">
        <v>31</v>
      </c>
      <c r="I2" s="14" t="s">
        <v>28</v>
      </c>
      <c r="J2" s="24" t="s">
        <v>32</v>
      </c>
      <c r="K2" s="25">
        <v>273339</v>
      </c>
      <c r="L2" s="26" t="s">
        <v>33</v>
      </c>
      <c r="M2" s="14" t="s">
        <v>29</v>
      </c>
      <c r="N2" s="27" t="s">
        <v>34</v>
      </c>
      <c r="O2" s="13" t="s">
        <v>35</v>
      </c>
      <c r="P2" s="13">
        <v>316146265</v>
      </c>
      <c r="Q2" s="14" t="s">
        <v>36</v>
      </c>
      <c r="R2" s="14" t="s">
        <v>37</v>
      </c>
      <c r="S2" s="15" t="s">
        <v>38</v>
      </c>
      <c r="T2" s="15" t="s">
        <v>39</v>
      </c>
      <c r="U2" s="13" t="s">
        <v>39</v>
      </c>
      <c r="V2" s="16">
        <v>325</v>
      </c>
      <c r="W2" s="17">
        <v>2.0000000000000001E-4</v>
      </c>
      <c r="X2" s="17">
        <v>2.0000000000000001E-4</v>
      </c>
      <c r="Y2" s="18" t="s">
        <v>40</v>
      </c>
      <c r="Z2" s="19" t="s">
        <v>41</v>
      </c>
      <c r="AA2" s="18" t="s">
        <v>40</v>
      </c>
    </row>
  </sheetData>
  <conditionalFormatting sqref="A2:F2 H2:AA2">
    <cfRule type="expression" dxfId="4" priority="1">
      <formula>$B2="N/A"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FFE-6388-4C1F-8E93-FF340D45E600}">
  <dimension ref="A1:Q12"/>
  <sheetViews>
    <sheetView tabSelected="1" workbookViewId="0">
      <selection activeCell="T8" sqref="T8"/>
    </sheetView>
  </sheetViews>
  <sheetFormatPr defaultRowHeight="18.5" x14ac:dyDescent="0.45"/>
  <cols>
    <col min="3" max="3" width="14.2109375" bestFit="1" customWidth="1"/>
    <col min="4" max="4" width="18.42578125" bestFit="1" customWidth="1"/>
    <col min="5" max="5" width="12.0703125" bestFit="1" customWidth="1"/>
    <col min="10" max="10" width="11.92578125" bestFit="1" customWidth="1"/>
    <col min="11" max="11" width="13.28515625" bestFit="1" customWidth="1"/>
  </cols>
  <sheetData>
    <row r="1" spans="1:17" x14ac:dyDescent="0.45">
      <c r="A1" s="28"/>
      <c r="B1" s="29"/>
      <c r="C1" s="30" t="s">
        <v>79</v>
      </c>
      <c r="D1" s="31" t="s">
        <v>80</v>
      </c>
      <c r="E1" s="28"/>
      <c r="F1" s="32"/>
      <c r="G1" s="28"/>
      <c r="H1" s="32"/>
      <c r="I1" s="32"/>
      <c r="J1" s="28"/>
      <c r="K1" s="29"/>
      <c r="L1" s="28"/>
      <c r="M1" s="28"/>
      <c r="N1" s="33"/>
      <c r="O1" s="79" t="s">
        <v>65</v>
      </c>
      <c r="P1" s="28"/>
      <c r="Q1" s="28"/>
    </row>
    <row r="2" spans="1:17" x14ac:dyDescent="0.45">
      <c r="A2" s="28"/>
      <c r="B2" s="29"/>
      <c r="C2" s="30" t="s">
        <v>81</v>
      </c>
      <c r="D2" s="31" t="s">
        <v>82</v>
      </c>
      <c r="E2" s="28"/>
      <c r="F2" s="32"/>
      <c r="G2" s="28"/>
      <c r="H2" s="32"/>
      <c r="I2" s="32"/>
      <c r="J2" s="28"/>
      <c r="K2" s="29"/>
      <c r="L2" s="28"/>
      <c r="M2" s="28"/>
      <c r="N2" s="33"/>
      <c r="O2" s="34" t="s">
        <v>83</v>
      </c>
      <c r="P2" s="28"/>
      <c r="Q2" s="28"/>
    </row>
    <row r="3" spans="1:17" x14ac:dyDescent="0.45">
      <c r="A3" s="28"/>
      <c r="B3" s="29"/>
      <c r="C3" s="30" t="s">
        <v>84</v>
      </c>
      <c r="D3" s="31" t="s">
        <v>85</v>
      </c>
      <c r="E3" s="28"/>
      <c r="F3" s="32"/>
      <c r="G3" s="28"/>
      <c r="H3" s="32"/>
      <c r="I3" s="32"/>
      <c r="J3" s="28"/>
      <c r="K3" s="29"/>
      <c r="L3" s="28"/>
      <c r="M3" s="28"/>
      <c r="N3" s="33"/>
      <c r="O3" s="34" t="s">
        <v>86</v>
      </c>
      <c r="P3" s="28"/>
      <c r="Q3" s="28"/>
    </row>
    <row r="4" spans="1:17" x14ac:dyDescent="0.45">
      <c r="A4" s="28"/>
      <c r="B4" s="29"/>
      <c r="C4" s="30" t="s">
        <v>42</v>
      </c>
      <c r="D4" s="31" t="s">
        <v>43</v>
      </c>
      <c r="E4" s="28"/>
      <c r="F4" s="32"/>
      <c r="G4" s="28"/>
      <c r="H4" s="32"/>
      <c r="I4" s="32"/>
      <c r="J4" s="28"/>
      <c r="K4" s="29"/>
      <c r="L4" s="28"/>
      <c r="M4" s="28"/>
      <c r="N4" s="33"/>
      <c r="O4" s="34" t="s">
        <v>44</v>
      </c>
      <c r="P4" s="28"/>
      <c r="Q4" s="28"/>
    </row>
    <row r="5" spans="1:17" x14ac:dyDescent="0.45">
      <c r="A5" s="28"/>
      <c r="B5" s="29"/>
      <c r="C5" s="30" t="s">
        <v>45</v>
      </c>
      <c r="D5" s="31" t="s">
        <v>39</v>
      </c>
      <c r="E5" s="28"/>
      <c r="F5" s="32"/>
      <c r="G5" s="28"/>
      <c r="H5" s="32"/>
      <c r="I5" s="32"/>
      <c r="J5" s="28"/>
      <c r="K5" s="29"/>
      <c r="L5" s="28"/>
      <c r="M5" s="28"/>
      <c r="N5" s="33"/>
      <c r="O5" s="34" t="s">
        <v>46</v>
      </c>
      <c r="P5" s="28"/>
      <c r="Q5" s="28"/>
    </row>
    <row r="6" spans="1:17" x14ac:dyDescent="0.45">
      <c r="A6" s="28"/>
      <c r="B6" s="35"/>
      <c r="C6" s="28"/>
      <c r="D6" s="28"/>
      <c r="E6" s="28"/>
      <c r="F6" s="32"/>
      <c r="G6" s="28"/>
      <c r="H6" s="32"/>
      <c r="I6" s="32"/>
      <c r="J6" s="28"/>
      <c r="K6" s="29"/>
      <c r="L6" s="28"/>
      <c r="M6" s="28"/>
      <c r="N6" s="33"/>
      <c r="O6" s="28"/>
      <c r="P6" s="28"/>
      <c r="Q6" s="28"/>
    </row>
    <row r="7" spans="1:17" ht="20" x14ac:dyDescent="0.45">
      <c r="A7" s="36" t="s">
        <v>47</v>
      </c>
      <c r="B7" s="37"/>
      <c r="C7" s="37"/>
      <c r="D7" s="38"/>
      <c r="E7" s="39" t="s">
        <v>48</v>
      </c>
      <c r="F7" s="40"/>
      <c r="G7" s="40"/>
      <c r="H7" s="40"/>
      <c r="I7" s="40"/>
      <c r="J7" s="40"/>
      <c r="K7" s="41"/>
      <c r="L7" s="42" t="s">
        <v>49</v>
      </c>
      <c r="M7" s="43"/>
      <c r="N7" s="44" t="s">
        <v>50</v>
      </c>
      <c r="O7" s="45" t="s">
        <v>51</v>
      </c>
      <c r="P7" s="46"/>
      <c r="Q7" s="47"/>
    </row>
    <row r="8" spans="1:17" ht="118.5" x14ac:dyDescent="0.45">
      <c r="A8" s="48" t="s">
        <v>52</v>
      </c>
      <c r="B8" s="48" t="s">
        <v>53</v>
      </c>
      <c r="C8" s="48" t="s">
        <v>54</v>
      </c>
      <c r="D8" s="48" t="s">
        <v>55</v>
      </c>
      <c r="E8" s="49" t="s">
        <v>56</v>
      </c>
      <c r="F8" s="50" t="s">
        <v>57</v>
      </c>
      <c r="G8" s="49" t="s">
        <v>58</v>
      </c>
      <c r="H8" s="49" t="s">
        <v>59</v>
      </c>
      <c r="I8" s="49" t="s">
        <v>60</v>
      </c>
      <c r="J8" s="49" t="s">
        <v>61</v>
      </c>
      <c r="K8" s="51" t="s">
        <v>62</v>
      </c>
      <c r="L8" s="52" t="s">
        <v>63</v>
      </c>
      <c r="M8" s="52" t="s">
        <v>64</v>
      </c>
      <c r="N8" s="53"/>
      <c r="O8" s="54" t="s">
        <v>65</v>
      </c>
      <c r="P8" s="54" t="s">
        <v>66</v>
      </c>
      <c r="Q8" s="54" t="s">
        <v>67</v>
      </c>
    </row>
    <row r="9" spans="1:17" ht="40.5" x14ac:dyDescent="0.45">
      <c r="A9" s="55"/>
      <c r="B9" s="55"/>
      <c r="C9" s="55"/>
      <c r="D9" s="55"/>
      <c r="E9" s="56"/>
      <c r="F9" s="57" t="s">
        <v>68</v>
      </c>
      <c r="G9" s="56"/>
      <c r="H9" s="56"/>
      <c r="I9" s="56"/>
      <c r="J9" s="56"/>
      <c r="K9" s="58" t="s">
        <v>69</v>
      </c>
      <c r="L9" s="59" t="s">
        <v>70</v>
      </c>
      <c r="M9" s="59"/>
      <c r="N9" s="59"/>
      <c r="O9" s="56"/>
      <c r="P9" s="56"/>
      <c r="Q9" s="56"/>
    </row>
    <row r="10" spans="1:17" x14ac:dyDescent="0.45">
      <c r="A10" s="60" t="s">
        <v>71</v>
      </c>
      <c r="B10" s="61" t="s">
        <v>72</v>
      </c>
      <c r="C10" s="62"/>
      <c r="D10" s="63"/>
      <c r="E10" s="64" t="s">
        <v>73</v>
      </c>
      <c r="F10" s="65"/>
      <c r="G10" s="65"/>
      <c r="H10" s="65"/>
      <c r="I10" s="65"/>
      <c r="J10" s="65"/>
      <c r="K10" s="65"/>
      <c r="L10" s="65"/>
      <c r="M10" s="65"/>
      <c r="N10" s="65"/>
      <c r="O10" s="66"/>
      <c r="P10" s="67"/>
      <c r="Q10" s="68"/>
    </row>
    <row r="11" spans="1:17" x14ac:dyDescent="0.45">
      <c r="A11" s="55"/>
      <c r="B11" s="55"/>
      <c r="C11" s="55"/>
      <c r="D11" s="55"/>
      <c r="E11" s="56"/>
      <c r="F11" s="56"/>
      <c r="G11" s="56"/>
      <c r="H11" s="56"/>
      <c r="I11" s="56"/>
      <c r="J11" s="56"/>
      <c r="K11" s="55"/>
      <c r="L11" s="56"/>
      <c r="M11" s="56"/>
      <c r="N11" s="56"/>
      <c r="O11" s="56"/>
      <c r="P11" s="56"/>
      <c r="Q11" s="56"/>
    </row>
    <row r="12" spans="1:17" x14ac:dyDescent="0.45">
      <c r="A12" s="69" t="s">
        <v>27</v>
      </c>
      <c r="B12" s="70">
        <v>101</v>
      </c>
      <c r="C12" s="71" t="s">
        <v>74</v>
      </c>
      <c r="D12" s="71" t="s">
        <v>74</v>
      </c>
      <c r="E12" s="69" t="s">
        <v>75</v>
      </c>
      <c r="F12" s="72">
        <v>3</v>
      </c>
      <c r="G12" s="69"/>
      <c r="H12" s="73">
        <v>1</v>
      </c>
      <c r="I12" s="69" t="s">
        <v>76</v>
      </c>
      <c r="J12" s="74" t="s">
        <v>74</v>
      </c>
      <c r="K12" s="74" t="s">
        <v>77</v>
      </c>
      <c r="M12">
        <v>5</v>
      </c>
      <c r="N12" s="75"/>
      <c r="O12" s="77"/>
      <c r="P12" s="69"/>
      <c r="Q12" s="78">
        <v>14854613.25</v>
      </c>
    </row>
    <row r="13">
      <c r="A13" t="inlineStr">
        <is>
          <t>CIT</t>
        </is>
      </c>
      <c r="B13" t="inlineStr">
        <is>
          <t>02</t>
        </is>
      </c>
      <c r="C13" t="inlineStr">
        <is>
          <t>Employer Match</t>
        </is>
      </c>
      <c r="D13" t="inlineStr">
        <is>
          <t>Employer Match</t>
        </is>
      </c>
      <c r="E13" t="inlineStr">
        <is>
          <t>Discretionary Employer Match</t>
        </is>
      </c>
      <c r="F13">
        <v>8</v>
      </c>
      <c r="G13" t="inlineStr">
        <is>
          <t>59.5, Hardship</t>
        </is>
      </c>
      <c r="H13" t="inlineStr">
        <is>
          <t>4 Year Graded</t>
        </is>
      </c>
      <c r="I13" t="inlineStr">
        <is>
          <t>Annual</t>
        </is>
      </c>
      <c r="J13" t="inlineStr">
        <is>
          <t>Discretionary Employer Match</t>
        </is>
      </c>
      <c r="K13" t="inlineStr">
        <is>
          <t>4577918446628132</t>
        </is>
      </c>
      <c r="N13">
        <v>2228771994</v>
      </c>
      <c r="M13">
        <v>2</v>
      </c>
    </row>
    <row r="14">
      <c r="A14" t="inlineStr">
        <is>
          <t>CIT</t>
        </is>
      </c>
      <c r="B14" t="inlineStr">
        <is>
          <t>03</t>
        </is>
      </c>
      <c r="C14" t="inlineStr">
        <is>
          <t>Employer Match</t>
        </is>
      </c>
      <c r="D14" t="inlineStr">
        <is>
          <t>Employer Match</t>
        </is>
      </c>
      <c r="E14" t="inlineStr">
        <is>
          <t>Discretionary Employer Match</t>
        </is>
      </c>
      <c r="F14">
        <v>8</v>
      </c>
      <c r="G14" t="inlineStr">
        <is>
          <t>59.5, Hardship</t>
        </is>
      </c>
      <c r="H14" t="inlineStr">
        <is>
          <t>4 Year Graded</t>
        </is>
      </c>
      <c r="I14" t="inlineStr">
        <is>
          <t>Annual</t>
        </is>
      </c>
      <c r="J14" t="inlineStr">
        <is>
          <t>Discretionary Employer Match</t>
        </is>
      </c>
      <c r="K14" t="inlineStr">
        <is>
          <t>5477918446628132</t>
        </is>
      </c>
      <c r="N14">
        <v>2228771994</v>
      </c>
      <c r="M14">
        <v>2</v>
      </c>
    </row>
  </sheetData>
  <mergeCells count="8">
    <mergeCell ref="O7:Q7"/>
    <mergeCell ref="L9:N9"/>
    <mergeCell ref="B10:D10"/>
    <mergeCell ref="E10:N10"/>
    <mergeCell ref="A7:D7"/>
    <mergeCell ref="E7:K7"/>
    <mergeCell ref="L7:M7"/>
    <mergeCell ref="N7:N8"/>
  </mergeCells>
  <conditionalFormatting sqref="J12:K12">
    <cfRule type="expression" dxfId="1" priority="1">
      <formula>$G12="F"</formula>
    </cfRule>
  </conditionalFormatting>
  <conditionalFormatting sqref="L12 N12">
    <cfRule type="expression" dxfId="0" priority="2">
      <formula>OR($D$5="Y",$D$5="y",$D$5="YES",$D$5="yes",$D$5="Yes")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Mapping</vt:lpstr>
      <vt:lpstr>Source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Abacherli, Joel</dc:creator>
  <cp:lastModifiedBy>Abacherli, Joel</cp:lastModifiedBy>
  <dcterms:created xsi:type="dcterms:W3CDTF">2026-06-10T17:34:19Z</dcterms:created>
  <dcterms:modified xsi:type="dcterms:W3CDTF">2026-06-10T17:36:07Z</dcterms:modified>
</cp:coreProperties>
</file>